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indeloitte.sharepoint.com/sites/Simpolo-ManufacturingExcellence2.0/Shared Documents/Simpolo- Manufacturing Excellence 2.0/10. AETs/"/>
    </mc:Choice>
  </mc:AlternateContent>
  <xr:revisionPtr revIDLastSave="0" documentId="8_{EDDF01E7-4066-4E4C-B73F-0D81E4BAEAE8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5S Checklist-Print" sheetId="5" r:id="rId1"/>
    <sheet name="5S Checksheet-Digital" sheetId="2" r:id="rId2"/>
    <sheet name="5S Audit Sch.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4" i="5" l="1"/>
  <c r="E35" i="5"/>
  <c r="L37" i="2"/>
  <c r="N37" i="2"/>
  <c r="O37" i="2"/>
  <c r="P37" i="2"/>
  <c r="Q37" i="2"/>
  <c r="R37" i="2"/>
  <c r="S37" i="2"/>
  <c r="N38" i="2"/>
  <c r="O38" i="2"/>
  <c r="P38" i="2"/>
  <c r="Q38" i="2"/>
  <c r="R38" i="2"/>
  <c r="S38" i="2"/>
  <c r="H37" i="2"/>
  <c r="I37" i="2"/>
  <c r="J37" i="2"/>
  <c r="K37" i="2"/>
  <c r="H38" i="2"/>
  <c r="I38" i="2"/>
  <c r="J38" i="2"/>
  <c r="K38" i="2"/>
  <c r="L38" i="2"/>
  <c r="M37" i="2"/>
  <c r="M38" i="2"/>
  <c r="E34" i="2"/>
  <c r="E33" i="2" s="1"/>
  <c r="L8" i="2"/>
  <c r="L9" i="2"/>
  <c r="L7" i="2"/>
  <c r="L6" i="2"/>
  <c r="L5" i="2"/>
</calcChain>
</file>

<file path=xl/sharedStrings.xml><?xml version="1.0" encoding="utf-8"?>
<sst xmlns="http://schemas.openxmlformats.org/spreadsheetml/2006/main" count="122" uniqueCount="71">
  <si>
    <t>Rating</t>
  </si>
  <si>
    <t>Is the shop floor clean and free of trash ?</t>
  </si>
  <si>
    <t>Are all forklifts and other material handling equipment clean ?</t>
  </si>
  <si>
    <t>Standardize ( Making directions a rule )</t>
  </si>
  <si>
    <t>Sustain ( Adhering to all Points and Improving them )</t>
  </si>
  <si>
    <t>Shine ( Work Place Cleanliness )</t>
  </si>
  <si>
    <t>Set in Order ( Straighten )</t>
  </si>
  <si>
    <t>Sort ( Select )</t>
  </si>
  <si>
    <t>Notes</t>
  </si>
  <si>
    <t>B</t>
  </si>
  <si>
    <t>Rating Scale :</t>
  </si>
  <si>
    <t>A</t>
  </si>
  <si>
    <t>&gt; 90 %</t>
  </si>
  <si>
    <t>Evident in a few individual cases ( &lt; 25 % of area / zone )</t>
  </si>
  <si>
    <t>&gt; 80-90 %</t>
  </si>
  <si>
    <t>Evident In some areas ( between 25 % and 50 % of area / zone )</t>
  </si>
  <si>
    <t>C</t>
  </si>
  <si>
    <t>&gt; 60-80 %</t>
  </si>
  <si>
    <t>Evident In most areas ( between 50 % and 90 % of area / zone )</t>
  </si>
  <si>
    <t>&lt; 60 %</t>
  </si>
  <si>
    <t>Evident in all areas</t>
  </si>
  <si>
    <t>D</t>
  </si>
  <si>
    <t>Month</t>
  </si>
  <si>
    <t>Level</t>
  </si>
  <si>
    <t>Actual</t>
  </si>
  <si>
    <t>Target</t>
  </si>
  <si>
    <t>Is there no obsolete or old information ( order paperwork , bulletins , work instructions , standards , charts / graphs , etc. ) at the work station , in cabinets , on shelves , or on display boards ?</t>
  </si>
  <si>
    <t>Are items at the workstation arranged by usage frequency and per ergonomic best practices ? Are the most frequently used items the easiest to reach at the workstation ?</t>
  </si>
  <si>
    <t>Are the workstations and equipment clean ? Are the computer , printer , monitor , keyboard , and mouse clean ? Is all machinery clean ?</t>
  </si>
  <si>
    <t>Are all pedestrian aisles clear and free of obstacles and trip hazards ? Are all drive aisles free of obstacles ?</t>
  </si>
  <si>
    <t>Do the associates know and understand 5S ? When asked , do they know the standard process , checklist cleaning rules , process confirmation , etc. ) ?</t>
  </si>
  <si>
    <t>Only the required parts, materials, WIP and stock present in the work area</t>
  </si>
  <si>
    <t>Only the required tools and equipment are present in the work area</t>
  </si>
  <si>
    <t>Only the required paperwork is present in the work area (signage)</t>
  </si>
  <si>
    <t>Unnecessary items (furniture, shelves etc.) been removed from the general area</t>
  </si>
  <si>
    <t>Sort</t>
  </si>
  <si>
    <t>Set in Order</t>
  </si>
  <si>
    <t>Shine</t>
  </si>
  <si>
    <t>Standardize</t>
  </si>
  <si>
    <t>Sustain</t>
  </si>
  <si>
    <t>Auditor: ____________________</t>
  </si>
  <si>
    <t>Max Possible Score</t>
  </si>
  <si>
    <t>Has Red tag / Problem area concept being practiced / People are aware of it?</t>
  </si>
  <si>
    <t xml:space="preserve">Locations for all parts, WIP and stock are clearly defined and labelled </t>
  </si>
  <si>
    <t xml:space="preserve">Equipment and Tools are properly labelled and have a clearly defined storage location </t>
  </si>
  <si>
    <t>Paperwork is properly labelled and has a clearly defined location available</t>
  </si>
  <si>
    <t>Walkways, access to equipment, and work area boundaries are clearly defined and labelled</t>
  </si>
  <si>
    <t>Are signs in good repair ? Is the floor tape (if any) securely in place ? Are labels in good repair ? Is utility and PC wiring neatly routed ?</t>
  </si>
  <si>
    <t>Recognition is given to teams who get involved in 5S activities</t>
  </si>
  <si>
    <t>Time and resources are continually allocated to 5S activities</t>
  </si>
  <si>
    <t>Has the team improved items that were not already identified on the pervious audit</t>
  </si>
  <si>
    <t>Rating Level:</t>
  </si>
  <si>
    <t>Non-existent ( no evidence )</t>
  </si>
  <si>
    <t>5S Audit Check sheet</t>
  </si>
  <si>
    <t>Audit Open point list maintained and shared with all the concerned personnel &amp; Tracked for closure regularly</t>
  </si>
  <si>
    <t>Audit Date: _________________________________</t>
  </si>
  <si>
    <t>Is all required cleaning equipment available &amp; at designated place ( shadow board , cabinet , etc. )?</t>
  </si>
  <si>
    <t>Are work area maintenance standard / SOPs prepared / Displayed? Work instructions and acceptance standards are correct, relevant</t>
  </si>
  <si>
    <t>Have specific cleaning tasks been assigned? Are trash bins and scrap/recycle containers emptied on a regular basis with defined frequency?</t>
  </si>
  <si>
    <t>Planned Date</t>
  </si>
  <si>
    <t>Actual Date</t>
  </si>
  <si>
    <t>Auditor Name</t>
  </si>
  <si>
    <t>Score</t>
  </si>
  <si>
    <t>Area</t>
  </si>
  <si>
    <t>5S Champion</t>
  </si>
  <si>
    <t>Details</t>
  </si>
  <si>
    <t>Sr. No</t>
  </si>
  <si>
    <t>Compliance (%)</t>
  </si>
  <si>
    <t>5S Score</t>
  </si>
  <si>
    <t>FY-26</t>
  </si>
  <si>
    <t>Audit Area / AET :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</si>
</sst>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26"/>
      <color theme="8" tint="-0.499984740745262"/>
      <name val="Calibri Light"/>
      <family val="2"/>
      <scheme val="major"/>
    </font>
    <font>
      <b/>
      <sz val="36"/>
      <color theme="8" tint="-0.499984740745262"/>
      <name val="Calibri Light"/>
      <family val="2"/>
      <scheme val="major"/>
    </font>
    <font>
      <b/>
      <sz val="12"/>
      <color theme="8" tint="-0.499984740745262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2" tint="-0.499984740745262"/>
      </left>
      <right/>
      <top/>
      <bottom/>
      <diagonal/>
    </border>
    <border>
      <left/>
      <right style="medium">
        <color theme="2" tint="-0.499984740745262"/>
      </right>
      <top/>
      <bottom/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medium">
        <color theme="2" tint="-0.499984740745262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2" tint="-0.499984740745262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2" tint="-0.499984740745262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2" tint="-0.499984740745262"/>
      </bottom>
      <diagonal/>
    </border>
    <border>
      <left/>
      <right/>
      <top/>
      <bottom style="medium">
        <color theme="2" tint="-0.499984740745262"/>
      </bottom>
      <diagonal/>
    </border>
    <border>
      <left/>
      <right style="medium">
        <color theme="2" tint="-0.499984740745262"/>
      </right>
      <top/>
      <bottom style="medium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/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  <border>
      <left style="medium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medium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 style="medium">
        <color theme="2" tint="-0.499984740745262"/>
      </left>
      <right/>
      <top style="medium">
        <color theme="2" tint="-0.499984740745262"/>
      </top>
      <bottom style="thin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499984740745262"/>
      </bottom>
      <diagonal/>
    </border>
    <border>
      <left/>
      <right style="medium">
        <color theme="2" tint="-0.499984740745262"/>
      </right>
      <top style="medium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theme="2" tint="-0.499984740745262"/>
      </bottom>
      <diagonal/>
    </border>
    <border>
      <left/>
      <right/>
      <top style="medium">
        <color indexed="64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/>
      <bottom style="thin">
        <color theme="2" tint="-0.499984740745262"/>
      </bottom>
      <diagonal/>
    </border>
    <border>
      <left/>
      <right style="medium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medium">
        <color theme="2" tint="-0.499984740745262"/>
      </bottom>
      <diagonal/>
    </border>
    <border>
      <left/>
      <right style="medium">
        <color indexed="64"/>
      </right>
      <top style="thin">
        <color theme="2" tint="-0.499984740745262"/>
      </top>
      <bottom style="medium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/>
      <bottom style="thin">
        <color theme="2" tint="-0.499984740745262"/>
      </bottom>
      <diagonal/>
    </border>
    <border>
      <left style="medium">
        <color indexed="64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0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0" xfId="0" applyFont="1"/>
    <xf numFmtId="0" fontId="0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 wrapText="1"/>
    </xf>
    <xf numFmtId="0" fontId="0" fillId="0" borderId="4" xfId="0" applyFont="1" applyBorder="1"/>
    <xf numFmtId="17" fontId="0" fillId="2" borderId="1" xfId="0" applyNumberFormat="1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9" fontId="0" fillId="8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wrapText="1" indent="1"/>
    </xf>
    <xf numFmtId="0" fontId="4" fillId="0" borderId="4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0" fillId="0" borderId="0" xfId="0" applyFont="1" applyAlignment="1">
      <alignment horizontal="left" vertical="center" indent="1"/>
    </xf>
    <xf numFmtId="0" fontId="0" fillId="0" borderId="0" xfId="0" applyFont="1" applyAlignment="1">
      <alignment horizontal="left" indent="1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 inden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vertical="center"/>
    </xf>
    <xf numFmtId="0" fontId="0" fillId="0" borderId="4" xfId="0" applyFont="1" applyBorder="1" applyAlignment="1">
      <alignment horizontal="left" indent="1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Border="1" applyAlignment="1">
      <alignment horizontal="left" vertical="center" indent="1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8" xfId="0" applyFont="1" applyBorder="1"/>
    <xf numFmtId="0" fontId="2" fillId="2" borderId="9" xfId="0" applyFont="1" applyFill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0" xfId="0" quotePrefix="1" applyFont="1" applyBorder="1" applyAlignment="1">
      <alignment horizontal="left" vertical="center"/>
    </xf>
    <xf numFmtId="0" fontId="0" fillId="0" borderId="0" xfId="0" applyFont="1" applyBorder="1" applyAlignment="1">
      <alignment horizontal="left" vertical="center"/>
    </xf>
    <xf numFmtId="0" fontId="0" fillId="0" borderId="7" xfId="0" applyBorder="1"/>
    <xf numFmtId="0" fontId="0" fillId="0" borderId="0" xfId="0" applyBorder="1" applyAlignment="1">
      <alignment horizontal="left" indent="1"/>
    </xf>
    <xf numFmtId="0" fontId="0" fillId="0" borderId="0" xfId="0" applyBorder="1"/>
    <xf numFmtId="0" fontId="0" fillId="0" borderId="8" xfId="0" applyBorder="1"/>
    <xf numFmtId="17" fontId="0" fillId="2" borderId="11" xfId="0" applyNumberFormat="1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9" fontId="0" fillId="8" borderId="11" xfId="0" applyNumberFormat="1" applyFont="1" applyFill="1" applyBorder="1" applyAlignment="1">
      <alignment horizontal="center" vertical="center"/>
    </xf>
    <xf numFmtId="0" fontId="0" fillId="3" borderId="13" xfId="0" applyFont="1" applyFill="1" applyBorder="1" applyAlignment="1">
      <alignment horizontal="center" vertical="center"/>
    </xf>
    <xf numFmtId="0" fontId="0" fillId="0" borderId="15" xfId="0" applyFont="1" applyBorder="1"/>
    <xf numFmtId="0" fontId="0" fillId="0" borderId="15" xfId="0" applyFont="1" applyBorder="1" applyAlignment="1">
      <alignment horizontal="center"/>
    </xf>
    <xf numFmtId="0" fontId="0" fillId="0" borderId="16" xfId="0" applyFont="1" applyBorder="1"/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left" vertical="center" indent="1"/>
    </xf>
    <xf numFmtId="0" fontId="2" fillId="2" borderId="1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right" vertical="center" indent="2"/>
    </xf>
    <xf numFmtId="1" fontId="0" fillId="0" borderId="4" xfId="0" applyNumberFormat="1" applyFont="1" applyBorder="1" applyAlignment="1">
      <alignment horizontal="center" vertical="center"/>
    </xf>
    <xf numFmtId="165" fontId="0" fillId="0" borderId="4" xfId="1" applyNumberFormat="1" applyFont="1" applyBorder="1" applyAlignment="1">
      <alignment horizontal="center" vertical="center"/>
    </xf>
    <xf numFmtId="0" fontId="8" fillId="0" borderId="28" xfId="0" applyFont="1" applyBorder="1" applyAlignment="1">
      <alignment vertical="center"/>
    </xf>
    <xf numFmtId="0" fontId="0" fillId="0" borderId="28" xfId="0" applyFont="1" applyBorder="1"/>
    <xf numFmtId="0" fontId="0" fillId="0" borderId="29" xfId="0" applyFont="1" applyBorder="1"/>
    <xf numFmtId="0" fontId="0" fillId="0" borderId="1" xfId="0" applyFont="1" applyBorder="1" applyAlignment="1">
      <alignment horizontal="left" vertical="center" wrapText="1" indent="1"/>
    </xf>
    <xf numFmtId="0" fontId="0" fillId="0" borderId="0" xfId="0" applyFont="1" applyAlignment="1">
      <alignment horizontal="left" vertical="center" wrapText="1" indent="1"/>
    </xf>
    <xf numFmtId="0" fontId="0" fillId="2" borderId="14" xfId="0" applyFont="1" applyFill="1" applyBorder="1" applyAlignment="1">
      <alignment horizontal="left" vertical="center" indent="1"/>
    </xf>
    <xf numFmtId="0" fontId="0" fillId="0" borderId="4" xfId="0" applyBorder="1"/>
    <xf numFmtId="0" fontId="0" fillId="0" borderId="4" xfId="0" applyBorder="1" applyAlignment="1">
      <alignment horizontal="left" indent="1"/>
    </xf>
    <xf numFmtId="0" fontId="6" fillId="9" borderId="4" xfId="0" applyFont="1" applyFill="1" applyBorder="1" applyAlignment="1">
      <alignment horizontal="left" indent="1"/>
    </xf>
    <xf numFmtId="17" fontId="6" fillId="9" borderId="4" xfId="0" applyNumberFormat="1" applyFont="1" applyFill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2" fillId="2" borderId="35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/>
    <xf numFmtId="0" fontId="2" fillId="2" borderId="40" xfId="0" applyFont="1" applyFill="1" applyBorder="1" applyAlignment="1">
      <alignment horizontal="center" vertical="center"/>
    </xf>
    <xf numFmtId="0" fontId="2" fillId="2" borderId="41" xfId="0" applyFont="1" applyFill="1" applyBorder="1"/>
    <xf numFmtId="0" fontId="2" fillId="2" borderId="41" xfId="0" applyFont="1" applyFill="1" applyBorder="1" applyAlignment="1">
      <alignment vertical="center"/>
    </xf>
    <xf numFmtId="0" fontId="0" fillId="0" borderId="0" xfId="0" applyFont="1" applyBorder="1" applyAlignment="1">
      <alignment horizontal="left" vertical="center" wrapText="1" indent="1"/>
    </xf>
    <xf numFmtId="0" fontId="2" fillId="7" borderId="42" xfId="0" applyFont="1" applyFill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9" fontId="2" fillId="2" borderId="44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5" xfId="0" applyFont="1" applyBorder="1"/>
    <xf numFmtId="0" fontId="0" fillId="3" borderId="48" xfId="0" applyFont="1" applyFill="1" applyBorder="1" applyAlignment="1">
      <alignment horizontal="center" vertical="center"/>
    </xf>
    <xf numFmtId="0" fontId="0" fillId="2" borderId="44" xfId="0" applyFont="1" applyFill="1" applyBorder="1" applyAlignment="1">
      <alignment horizontal="center" vertical="center"/>
    </xf>
    <xf numFmtId="0" fontId="0" fillId="3" borderId="49" xfId="0" applyFont="1" applyFill="1" applyBorder="1" applyAlignment="1">
      <alignment horizontal="center" vertical="center"/>
    </xf>
    <xf numFmtId="0" fontId="0" fillId="2" borderId="50" xfId="0" applyFont="1" applyFill="1" applyBorder="1" applyAlignment="1">
      <alignment horizontal="left" vertical="center" indent="1"/>
    </xf>
    <xf numFmtId="0" fontId="0" fillId="0" borderId="51" xfId="0" applyFont="1" applyBorder="1"/>
    <xf numFmtId="0" fontId="0" fillId="0" borderId="52" xfId="0" applyFont="1" applyBorder="1" applyAlignment="1">
      <alignment horizontal="center"/>
    </xf>
    <xf numFmtId="0" fontId="7" fillId="10" borderId="32" xfId="0" applyFont="1" applyFill="1" applyBorder="1" applyAlignment="1">
      <alignment horizontal="centerContinuous" vertical="center"/>
    </xf>
    <xf numFmtId="0" fontId="7" fillId="10" borderId="33" xfId="0" applyFont="1" applyFill="1" applyBorder="1" applyAlignment="1">
      <alignment horizontal="centerContinuous" vertical="center"/>
    </xf>
    <xf numFmtId="0" fontId="8" fillId="10" borderId="33" xfId="0" applyFont="1" applyFill="1" applyBorder="1" applyAlignment="1">
      <alignment horizontal="centerContinuous" vertical="center"/>
    </xf>
    <xf numFmtId="0" fontId="8" fillId="10" borderId="34" xfId="0" applyFont="1" applyFill="1" applyBorder="1" applyAlignment="1">
      <alignment horizontal="centerContinuous" vertical="center"/>
    </xf>
    <xf numFmtId="0" fontId="9" fillId="0" borderId="37" xfId="0" applyFont="1" applyBorder="1" applyAlignment="1">
      <alignment horizontal="left" vertical="center" indent="1"/>
    </xf>
    <xf numFmtId="0" fontId="9" fillId="0" borderId="24" xfId="0" applyFont="1" applyBorder="1" applyAlignment="1">
      <alignment horizontal="left" vertical="center" indent="1"/>
    </xf>
    <xf numFmtId="0" fontId="9" fillId="0" borderId="25" xfId="0" applyFont="1" applyBorder="1" applyAlignment="1">
      <alignment horizontal="left" vertical="center" indent="1"/>
    </xf>
    <xf numFmtId="0" fontId="9" fillId="0" borderId="38" xfId="0" applyFont="1" applyBorder="1" applyAlignment="1">
      <alignment horizontal="left" vertical="center" indent="1"/>
    </xf>
    <xf numFmtId="0" fontId="6" fillId="2" borderId="46" xfId="0" applyFont="1" applyFill="1" applyBorder="1" applyAlignment="1">
      <alignment horizontal="left" vertical="center" indent="1"/>
    </xf>
    <xf numFmtId="0" fontId="6" fillId="2" borderId="3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 indent="1"/>
    </xf>
    <xf numFmtId="0" fontId="6" fillId="2" borderId="47" xfId="0" applyFont="1" applyFill="1" applyBorder="1" applyAlignment="1">
      <alignment horizontal="left" vertical="center" indent="1"/>
    </xf>
    <xf numFmtId="0" fontId="9" fillId="0" borderId="35" xfId="0" applyFont="1" applyBorder="1" applyAlignment="1">
      <alignment horizontal="left" vertical="center" indent="1"/>
    </xf>
    <xf numFmtId="0" fontId="9" fillId="0" borderId="18" xfId="0" applyFont="1" applyBorder="1" applyAlignment="1">
      <alignment horizontal="left" vertical="center" indent="1"/>
    </xf>
    <xf numFmtId="0" fontId="9" fillId="0" borderId="21" xfId="0" applyFont="1" applyBorder="1" applyAlignment="1">
      <alignment horizontal="left" vertical="center" indent="1"/>
    </xf>
    <xf numFmtId="0" fontId="9" fillId="0" borderId="36" xfId="0" applyFont="1" applyBorder="1" applyAlignment="1">
      <alignment horizontal="left" vertical="center" indent="1"/>
    </xf>
    <xf numFmtId="0" fontId="0" fillId="0" borderId="6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indent="1"/>
    </xf>
    <xf numFmtId="0" fontId="9" fillId="0" borderId="23" xfId="0" applyFont="1" applyBorder="1" applyAlignment="1">
      <alignment horizontal="left" vertical="center" indent="1"/>
    </xf>
    <xf numFmtId="0" fontId="6" fillId="2" borderId="10" xfId="0" applyFont="1" applyFill="1" applyBorder="1" applyAlignment="1">
      <alignment horizontal="left" vertical="center" indent="1"/>
    </xf>
    <xf numFmtId="0" fontId="7" fillId="0" borderId="27" xfId="0" applyFont="1" applyBorder="1" applyAlignment="1">
      <alignment horizontal="left" vertical="center" indent="1"/>
    </xf>
    <xf numFmtId="0" fontId="7" fillId="0" borderId="28" xfId="0" applyFont="1" applyBorder="1" applyAlignment="1">
      <alignment horizontal="left" vertical="center" indent="1"/>
    </xf>
    <xf numFmtId="0" fontId="9" fillId="0" borderId="22" xfId="0" applyFont="1" applyBorder="1" applyAlignment="1">
      <alignment horizontal="left" vertical="center" indent="1"/>
    </xf>
    <xf numFmtId="0" fontId="9" fillId="0" borderId="26" xfId="0" applyFont="1" applyBorder="1" applyAlignment="1">
      <alignment horizontal="left" vertical="center" indent="1"/>
    </xf>
    <xf numFmtId="17" fontId="6" fillId="9" borderId="19" xfId="0" applyNumberFormat="1" applyFont="1" applyFill="1" applyBorder="1" applyAlignment="1">
      <alignment horizontal="center"/>
    </xf>
    <xf numFmtId="17" fontId="6" fillId="9" borderId="20" xfId="0" applyNumberFormat="1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left" vertical="center" indent="1"/>
    </xf>
    <xf numFmtId="0" fontId="0" fillId="0" borderId="30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12">
    <dxf>
      <font>
        <b/>
        <i val="0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4" tint="-0.499984740745262"/>
        </patternFill>
      </fill>
    </dxf>
    <dxf>
      <font>
        <b/>
        <i val="0"/>
      </font>
      <fill>
        <patternFill>
          <bgColor theme="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66755252800935E-2"/>
          <c:y val="7.0806393761603609E-2"/>
          <c:w val="0.93207743483101302"/>
          <c:h val="0.83793884632039062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'5S Checksheet-Digital'!$H$36:$S$36</c:f>
              <c:numCache>
                <c:formatCode>mmm\-yy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'5S Checksheet-Digital'!$H$39:$S$39</c:f>
              <c:numCache>
                <c:formatCode>0%</c:formatCode>
                <c:ptCount val="12"/>
                <c:pt idx="0">
                  <c:v>0.57999999999999996</c:v>
                </c:pt>
                <c:pt idx="1">
                  <c:v>0.69</c:v>
                </c:pt>
                <c:pt idx="2">
                  <c:v>0.74</c:v>
                </c:pt>
                <c:pt idx="3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C-4E05-88C8-B6278AF5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1012735"/>
        <c:axId val="1211010655"/>
      </c:barChart>
      <c:lineChart>
        <c:grouping val="stacke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'5S Checksheet-Digital'!$H$36:$S$36</c:f>
              <c:numCache>
                <c:formatCode>mmm\-yy</c:formatCode>
                <c:ptCount val="12"/>
                <c:pt idx="0">
                  <c:v>44652</c:v>
                </c:pt>
                <c:pt idx="1">
                  <c:v>44682</c:v>
                </c:pt>
                <c:pt idx="2">
                  <c:v>44713</c:v>
                </c:pt>
                <c:pt idx="3">
                  <c:v>44743</c:v>
                </c:pt>
                <c:pt idx="4">
                  <c:v>44774</c:v>
                </c:pt>
                <c:pt idx="5">
                  <c:v>44805</c:v>
                </c:pt>
                <c:pt idx="6">
                  <c:v>44835</c:v>
                </c:pt>
                <c:pt idx="7">
                  <c:v>44866</c:v>
                </c:pt>
                <c:pt idx="8">
                  <c:v>44896</c:v>
                </c:pt>
                <c:pt idx="9">
                  <c:v>44927</c:v>
                </c:pt>
                <c:pt idx="10">
                  <c:v>44958</c:v>
                </c:pt>
                <c:pt idx="11">
                  <c:v>44986</c:v>
                </c:pt>
              </c:numCache>
            </c:numRef>
          </c:cat>
          <c:val>
            <c:numRef>
              <c:f>'5S Checksheet-Digital'!$H$40:$S$40</c:f>
              <c:numCache>
                <c:formatCode>0%</c:formatCode>
                <c:ptCount val="12"/>
                <c:pt idx="0">
                  <c:v>0.8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  <c:pt idx="10">
                  <c:v>0.8</c:v>
                </c:pt>
                <c:pt idx="11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4C-4E05-88C8-B6278AF5CE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1012735"/>
        <c:axId val="1211010655"/>
      </c:lineChart>
      <c:dateAx>
        <c:axId val="1211012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10655"/>
        <c:crosses val="autoZero"/>
        <c:auto val="1"/>
        <c:lblOffset val="100"/>
        <c:baseTimeUnit val="months"/>
      </c:dateAx>
      <c:valAx>
        <c:axId val="12110106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12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spPr>
            <a:ln w="2540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9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cat>
            <c:strRef>
              <c:f>'5S Checksheet-Digital'!$K$5:$K$9</c:f>
              <c:strCache>
                <c:ptCount val="5"/>
                <c:pt idx="0">
                  <c:v>Sort</c:v>
                </c:pt>
                <c:pt idx="1">
                  <c:v>Set in Order</c:v>
                </c:pt>
                <c:pt idx="2">
                  <c:v>Shine</c:v>
                </c:pt>
                <c:pt idx="3">
                  <c:v>Standardize</c:v>
                </c:pt>
                <c:pt idx="4">
                  <c:v>Sustain</c:v>
                </c:pt>
              </c:strCache>
            </c:strRef>
          </c:cat>
          <c:val>
            <c:numRef>
              <c:f>'5S Checksheet-Digital'!$L$5:$L$9</c:f>
              <c:numCache>
                <c:formatCode>0</c:formatCode>
                <c:ptCount val="5"/>
                <c:pt idx="0">
                  <c:v>3</c:v>
                </c:pt>
                <c:pt idx="1">
                  <c:v>4</c:v>
                </c:pt>
                <c:pt idx="2" formatCode="_(* #,##0_);_(* \(#,##0\);_(* &quot;-&quot;??_);_(@_)">
                  <c:v>1.6666666666666667</c:v>
                </c:pt>
                <c:pt idx="3" formatCode="_(* #,##0_);_(* \(#,##0\);_(* &quot;-&quot;??_);_(@_)">
                  <c:v>1</c:v>
                </c:pt>
                <c:pt idx="4" formatCode="_(* #,##0_);_(* \(#,##0\);_(* &quot;-&quot;??_);_(@_)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7-46D8-BCCF-0E603CB61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9645727"/>
        <c:axId val="709641151"/>
      </c:radarChart>
      <c:catAx>
        <c:axId val="70964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1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41151"/>
        <c:crosses val="autoZero"/>
        <c:auto val="1"/>
        <c:lblAlgn val="ctr"/>
        <c:lblOffset val="100"/>
        <c:noMultiLvlLbl val="0"/>
      </c:catAx>
      <c:valAx>
        <c:axId val="70964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645727"/>
        <c:crosses val="autoZero"/>
        <c:crossBetween val="between"/>
        <c:majorUnit val="1"/>
        <c:min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34324</xdr:colOff>
      <xdr:row>21</xdr:row>
      <xdr:rowOff>25400</xdr:rowOff>
    </xdr:from>
    <xdr:to>
      <xdr:col>18</xdr:col>
      <xdr:colOff>399143</xdr:colOff>
      <xdr:row>33</xdr:row>
      <xdr:rowOff>332922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E68687-91D1-444A-8A7B-4C6CF94F6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34325</xdr:colOff>
      <xdr:row>3</xdr:row>
      <xdr:rowOff>98073</xdr:rowOff>
    </xdr:from>
    <xdr:to>
      <xdr:col>18</xdr:col>
      <xdr:colOff>371928</xdr:colOff>
      <xdr:row>20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CD78FE-F515-4376-B941-F7F11D2221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C95E-EBD2-4E0D-8652-AAFF5B0D6433}">
  <dimension ref="B1:E42"/>
  <sheetViews>
    <sheetView showGridLines="0" topLeftCell="A2" zoomScale="54" workbookViewId="0">
      <selection activeCell="C2" sqref="C2"/>
    </sheetView>
  </sheetViews>
  <sheetFormatPr defaultRowHeight="14.4" x14ac:dyDescent="0.3"/>
  <cols>
    <col min="2" max="2" width="8.77734375" bestFit="1" customWidth="1"/>
    <col min="3" max="3" width="94.21875" customWidth="1"/>
    <col min="4" max="4" width="7.33203125" customWidth="1"/>
    <col min="5" max="5" width="32.21875" customWidth="1"/>
  </cols>
  <sheetData>
    <row r="1" spans="2:5" ht="15" thickBot="1" x14ac:dyDescent="0.35"/>
    <row r="2" spans="2:5" ht="46.2" x14ac:dyDescent="0.3">
      <c r="B2" s="86" t="s">
        <v>53</v>
      </c>
      <c r="C2" s="87"/>
      <c r="D2" s="88"/>
      <c r="E2" s="89"/>
    </row>
    <row r="3" spans="2:5" ht="20.55" customHeight="1" x14ac:dyDescent="0.3">
      <c r="B3" s="98" t="s">
        <v>70</v>
      </c>
      <c r="C3" s="99"/>
      <c r="D3" s="100" t="s">
        <v>40</v>
      </c>
      <c r="E3" s="101"/>
    </row>
    <row r="4" spans="2:5" ht="20.55" customHeight="1" thickBot="1" x14ac:dyDescent="0.35">
      <c r="B4" s="90" t="s">
        <v>55</v>
      </c>
      <c r="C4" s="91"/>
      <c r="D4" s="92"/>
      <c r="E4" s="93"/>
    </row>
    <row r="5" spans="2:5" x14ac:dyDescent="0.3">
      <c r="B5" s="67">
        <v>1</v>
      </c>
      <c r="C5" s="51" t="s">
        <v>7</v>
      </c>
      <c r="D5" s="52" t="s">
        <v>0</v>
      </c>
      <c r="E5" s="68" t="s">
        <v>8</v>
      </c>
    </row>
    <row r="6" spans="2:5" x14ac:dyDescent="0.3">
      <c r="B6" s="69">
        <v>1.1000000000000001</v>
      </c>
      <c r="C6" s="17" t="s">
        <v>31</v>
      </c>
      <c r="D6" s="11"/>
      <c r="E6" s="70"/>
    </row>
    <row r="7" spans="2:5" x14ac:dyDescent="0.3">
      <c r="B7" s="69">
        <v>1.2</v>
      </c>
      <c r="C7" s="17" t="s">
        <v>32</v>
      </c>
      <c r="D7" s="11"/>
      <c r="E7" s="70"/>
    </row>
    <row r="8" spans="2:5" x14ac:dyDescent="0.3">
      <c r="B8" s="69">
        <v>1.3</v>
      </c>
      <c r="C8" s="17" t="s">
        <v>33</v>
      </c>
      <c r="D8" s="11"/>
      <c r="E8" s="70"/>
    </row>
    <row r="9" spans="2:5" x14ac:dyDescent="0.3">
      <c r="B9" s="69">
        <v>1.4</v>
      </c>
      <c r="C9" s="17" t="s">
        <v>34</v>
      </c>
      <c r="D9" s="11"/>
      <c r="E9" s="70"/>
    </row>
    <row r="10" spans="2:5" x14ac:dyDescent="0.3">
      <c r="B10" s="69">
        <v>1.5</v>
      </c>
      <c r="C10" s="17" t="s">
        <v>42</v>
      </c>
      <c r="D10" s="11"/>
      <c r="E10" s="70"/>
    </row>
    <row r="11" spans="2:5" ht="28.8" x14ac:dyDescent="0.3">
      <c r="B11" s="69">
        <v>1.6</v>
      </c>
      <c r="C11" s="17" t="s">
        <v>26</v>
      </c>
      <c r="D11" s="11"/>
      <c r="E11" s="70"/>
    </row>
    <row r="12" spans="2:5" x14ac:dyDescent="0.3">
      <c r="B12" s="71">
        <v>2</v>
      </c>
      <c r="C12" s="23" t="s">
        <v>6</v>
      </c>
      <c r="D12" s="24"/>
      <c r="E12" s="72"/>
    </row>
    <row r="13" spans="2:5" x14ac:dyDescent="0.3">
      <c r="B13" s="69">
        <v>2.1</v>
      </c>
      <c r="C13" s="18" t="s">
        <v>43</v>
      </c>
      <c r="D13" s="11"/>
      <c r="E13" s="70"/>
    </row>
    <row r="14" spans="2:5" x14ac:dyDescent="0.3">
      <c r="B14" s="69">
        <v>2.2000000000000002</v>
      </c>
      <c r="C14" s="18" t="s">
        <v>44</v>
      </c>
      <c r="D14" s="11"/>
      <c r="E14" s="70"/>
    </row>
    <row r="15" spans="2:5" x14ac:dyDescent="0.3">
      <c r="B15" s="69">
        <v>2.2999999999999998</v>
      </c>
      <c r="C15" s="18" t="s">
        <v>45</v>
      </c>
      <c r="D15" s="11"/>
      <c r="E15" s="70"/>
    </row>
    <row r="16" spans="2:5" x14ac:dyDescent="0.3">
      <c r="B16" s="69">
        <v>2.4</v>
      </c>
      <c r="C16" s="18" t="s">
        <v>46</v>
      </c>
      <c r="D16" s="11"/>
      <c r="E16" s="70"/>
    </row>
    <row r="17" spans="2:5" ht="28.8" x14ac:dyDescent="0.3">
      <c r="B17" s="69">
        <v>2.5</v>
      </c>
      <c r="C17" s="17" t="s">
        <v>27</v>
      </c>
      <c r="D17" s="11"/>
      <c r="E17" s="70"/>
    </row>
    <row r="18" spans="2:5" ht="28.8" x14ac:dyDescent="0.3">
      <c r="B18" s="69">
        <v>2.6</v>
      </c>
      <c r="C18" s="17" t="s">
        <v>47</v>
      </c>
      <c r="D18" s="11"/>
      <c r="E18" s="70"/>
    </row>
    <row r="19" spans="2:5" x14ac:dyDescent="0.3">
      <c r="B19" s="71">
        <v>3</v>
      </c>
      <c r="C19" s="26" t="s">
        <v>5</v>
      </c>
      <c r="D19" s="24"/>
      <c r="E19" s="73"/>
    </row>
    <row r="20" spans="2:5" x14ac:dyDescent="0.3">
      <c r="B20" s="69">
        <v>3.1</v>
      </c>
      <c r="C20" s="18" t="s">
        <v>1</v>
      </c>
      <c r="D20" s="11"/>
      <c r="E20" s="70"/>
    </row>
    <row r="21" spans="2:5" ht="28.8" x14ac:dyDescent="0.3">
      <c r="B21" s="69">
        <v>3.2</v>
      </c>
      <c r="C21" s="18" t="s">
        <v>28</v>
      </c>
      <c r="D21" s="11"/>
      <c r="E21" s="70"/>
    </row>
    <row r="22" spans="2:5" x14ac:dyDescent="0.3">
      <c r="B22" s="69">
        <v>3.3</v>
      </c>
      <c r="C22" s="18" t="s">
        <v>2</v>
      </c>
      <c r="D22" s="11"/>
      <c r="E22" s="70"/>
    </row>
    <row r="23" spans="2:5" x14ac:dyDescent="0.3">
      <c r="B23" s="69">
        <v>3.4</v>
      </c>
      <c r="C23" s="19" t="s">
        <v>29</v>
      </c>
      <c r="D23" s="11"/>
      <c r="E23" s="70"/>
    </row>
    <row r="24" spans="2:5" x14ac:dyDescent="0.3">
      <c r="B24" s="69">
        <v>3.5</v>
      </c>
      <c r="C24" s="18" t="s">
        <v>56</v>
      </c>
      <c r="D24" s="11"/>
      <c r="E24" s="70"/>
    </row>
    <row r="25" spans="2:5" x14ac:dyDescent="0.3">
      <c r="B25" s="71">
        <v>4</v>
      </c>
      <c r="C25" s="23" t="s">
        <v>3</v>
      </c>
      <c r="D25" s="24"/>
      <c r="E25" s="72"/>
    </row>
    <row r="26" spans="2:5" ht="28.8" x14ac:dyDescent="0.3">
      <c r="B26" s="69">
        <v>4.0999999999999996</v>
      </c>
      <c r="C26" s="18" t="s">
        <v>57</v>
      </c>
      <c r="D26" s="11"/>
      <c r="E26" s="70"/>
    </row>
    <row r="27" spans="2:5" ht="28.8" x14ac:dyDescent="0.3">
      <c r="B27" s="69">
        <v>4.2</v>
      </c>
      <c r="C27" s="19" t="s">
        <v>58</v>
      </c>
      <c r="D27" s="11"/>
      <c r="E27" s="70"/>
    </row>
    <row r="28" spans="2:5" ht="28.8" x14ac:dyDescent="0.3">
      <c r="B28" s="69">
        <v>4.3</v>
      </c>
      <c r="C28" s="59" t="s">
        <v>30</v>
      </c>
      <c r="D28" s="11"/>
      <c r="E28" s="70"/>
    </row>
    <row r="29" spans="2:5" x14ac:dyDescent="0.3">
      <c r="B29" s="71">
        <v>5</v>
      </c>
      <c r="C29" s="23" t="s">
        <v>4</v>
      </c>
      <c r="D29" s="24"/>
      <c r="E29" s="72"/>
    </row>
    <row r="30" spans="2:5" x14ac:dyDescent="0.3">
      <c r="B30" s="69">
        <v>5.0999999999999996</v>
      </c>
      <c r="C30" s="74" t="s">
        <v>54</v>
      </c>
      <c r="D30" s="11"/>
      <c r="E30" s="70"/>
    </row>
    <row r="31" spans="2:5" x14ac:dyDescent="0.3">
      <c r="B31" s="69">
        <v>5.2</v>
      </c>
      <c r="C31" s="19" t="s">
        <v>48</v>
      </c>
      <c r="D31" s="11"/>
      <c r="E31" s="70"/>
    </row>
    <row r="32" spans="2:5" x14ac:dyDescent="0.3">
      <c r="B32" s="69">
        <v>5.3</v>
      </c>
      <c r="C32" s="19" t="s">
        <v>49</v>
      </c>
      <c r="D32" s="11"/>
      <c r="E32" s="70"/>
    </row>
    <row r="33" spans="2:5" x14ac:dyDescent="0.3">
      <c r="B33" s="69">
        <v>5.4</v>
      </c>
      <c r="C33" s="18" t="s">
        <v>50</v>
      </c>
      <c r="D33" s="11"/>
      <c r="E33" s="70"/>
    </row>
    <row r="34" spans="2:5" x14ac:dyDescent="0.3">
      <c r="B34" s="69"/>
      <c r="C34" s="53" t="s">
        <v>41</v>
      </c>
      <c r="D34" s="22">
        <v>100</v>
      </c>
      <c r="E34" s="75" t="str">
        <f>IF(E35="","",IF(E35&gt;90%,"A",IF(E35&gt;80%,"B",IF(E35&gt;60%,"C","D"))))</f>
        <v/>
      </c>
    </row>
    <row r="35" spans="2:5" x14ac:dyDescent="0.3">
      <c r="B35" s="76"/>
      <c r="C35" s="30"/>
      <c r="D35" s="31"/>
      <c r="E35" s="77" t="str">
        <f>IFERROR(AVERAGE(D30:D33,D26:D28,D20:D24,D13:D18,D6:D11)/4,"")</f>
        <v/>
      </c>
    </row>
    <row r="36" spans="2:5" x14ac:dyDescent="0.3">
      <c r="B36" s="78"/>
      <c r="C36" s="39"/>
      <c r="D36" s="40"/>
      <c r="E36" s="79"/>
    </row>
    <row r="37" spans="2:5" x14ac:dyDescent="0.3">
      <c r="B37" s="94" t="s">
        <v>10</v>
      </c>
      <c r="C37" s="95"/>
      <c r="D37" s="96" t="s">
        <v>51</v>
      </c>
      <c r="E37" s="97"/>
    </row>
    <row r="38" spans="2:5" x14ac:dyDescent="0.3">
      <c r="B38" s="80">
        <v>0</v>
      </c>
      <c r="C38" s="16" t="s">
        <v>52</v>
      </c>
      <c r="D38" s="6" t="s">
        <v>11</v>
      </c>
      <c r="E38" s="81" t="s">
        <v>12</v>
      </c>
    </row>
    <row r="39" spans="2:5" x14ac:dyDescent="0.3">
      <c r="B39" s="80">
        <v>1</v>
      </c>
      <c r="C39" s="16" t="s">
        <v>13</v>
      </c>
      <c r="D39" s="7" t="s">
        <v>9</v>
      </c>
      <c r="E39" s="81" t="s">
        <v>14</v>
      </c>
    </row>
    <row r="40" spans="2:5" x14ac:dyDescent="0.3">
      <c r="B40" s="80">
        <v>2</v>
      </c>
      <c r="C40" s="16" t="s">
        <v>15</v>
      </c>
      <c r="D40" s="8" t="s">
        <v>16</v>
      </c>
      <c r="E40" s="81" t="s">
        <v>17</v>
      </c>
    </row>
    <row r="41" spans="2:5" x14ac:dyDescent="0.3">
      <c r="B41" s="80">
        <v>3</v>
      </c>
      <c r="C41" s="16" t="s">
        <v>18</v>
      </c>
      <c r="D41" s="10" t="s">
        <v>21</v>
      </c>
      <c r="E41" s="81" t="s">
        <v>19</v>
      </c>
    </row>
    <row r="42" spans="2:5" ht="15" thickBot="1" x14ac:dyDescent="0.35">
      <c r="B42" s="82">
        <v>4</v>
      </c>
      <c r="C42" s="83" t="s">
        <v>20</v>
      </c>
      <c r="D42" s="84"/>
      <c r="E42" s="85"/>
    </row>
  </sheetData>
  <mergeCells count="6">
    <mergeCell ref="B4:C4"/>
    <mergeCell ref="D4:E4"/>
    <mergeCell ref="B37:C37"/>
    <mergeCell ref="D37:E37"/>
    <mergeCell ref="B3:C3"/>
    <mergeCell ref="D3:E3"/>
  </mergeCells>
  <conditionalFormatting sqref="E34:E35">
    <cfRule type="cellIs" dxfId="11" priority="2" operator="equal">
      <formula>"D"</formula>
    </cfRule>
    <cfRule type="cellIs" dxfId="10" priority="3" operator="equal">
      <formula>"C"</formula>
    </cfRule>
    <cfRule type="cellIs" dxfId="9" priority="4" operator="equal">
      <formula>"B"</formula>
    </cfRule>
    <cfRule type="cellIs" dxfId="8" priority="5" operator="equal">
      <formula>"A"</formula>
    </cfRule>
  </conditionalFormatting>
  <pageMargins left="0.7" right="0.7" top="0.75" bottom="0.75" header="0.3" footer="0.3"/>
  <ignoredErrors>
    <ignoredError sqref="E3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DFFC-67E6-4773-953B-90EA4411E0E2}">
  <sheetPr>
    <pageSetUpPr fitToPage="1"/>
  </sheetPr>
  <dimension ref="B1:S42"/>
  <sheetViews>
    <sheetView showGridLines="0" tabSelected="1" zoomScale="44" zoomScaleNormal="70" workbookViewId="0">
      <selection activeCell="W31" sqref="W31"/>
    </sheetView>
  </sheetViews>
  <sheetFormatPr defaultColWidth="16.77734375" defaultRowHeight="27.75" customHeight="1" x14ac:dyDescent="0.3"/>
  <cols>
    <col min="1" max="1" width="9.21875" style="2" customWidth="1"/>
    <col min="2" max="2" width="8.77734375" style="4" bestFit="1" customWidth="1"/>
    <col min="3" max="3" width="91.21875" style="20" customWidth="1"/>
    <col min="4" max="4" width="7.33203125" style="4" customWidth="1"/>
    <col min="5" max="5" width="32.21875" style="2" customWidth="1"/>
    <col min="6" max="6" width="1.77734375" style="2" customWidth="1"/>
    <col min="7" max="8" width="6.33203125" style="2" customWidth="1"/>
    <col min="9" max="9" width="7.109375" style="2" bestFit="1" customWidth="1"/>
    <col min="10" max="19" width="6.33203125" style="2" customWidth="1"/>
    <col min="20" max="16384" width="16.77734375" style="2"/>
  </cols>
  <sheetData>
    <row r="1" spans="2:19" ht="39" customHeight="1" x14ac:dyDescent="0.3">
      <c r="B1" s="107" t="s">
        <v>53</v>
      </c>
      <c r="C1" s="108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7"/>
      <c r="S1" s="58"/>
    </row>
    <row r="2" spans="2:19" ht="20.55" customHeight="1" x14ac:dyDescent="0.3">
      <c r="B2" s="104" t="s">
        <v>70</v>
      </c>
      <c r="C2" s="99"/>
      <c r="D2" s="100" t="s">
        <v>40</v>
      </c>
      <c r="E2" s="109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3"/>
    </row>
    <row r="3" spans="2:19" ht="20.55" customHeight="1" thickBot="1" x14ac:dyDescent="0.35">
      <c r="B3" s="105" t="s">
        <v>55</v>
      </c>
      <c r="C3" s="91"/>
      <c r="D3" s="92"/>
      <c r="E3" s="110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9"/>
    </row>
    <row r="4" spans="2:19" ht="14.4" x14ac:dyDescent="0.3">
      <c r="B4" s="50">
        <v>1</v>
      </c>
      <c r="C4" s="51" t="s">
        <v>7</v>
      </c>
      <c r="D4" s="52" t="s">
        <v>0</v>
      </c>
      <c r="E4" s="52" t="s">
        <v>8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</row>
    <row r="5" spans="2:19" ht="14.4" x14ac:dyDescent="0.3">
      <c r="B5" s="35">
        <v>1.1000000000000001</v>
      </c>
      <c r="C5" s="17" t="s">
        <v>31</v>
      </c>
      <c r="D5" s="11">
        <v>3</v>
      </c>
      <c r="E5" s="12"/>
      <c r="F5" s="32"/>
      <c r="G5" s="32"/>
      <c r="H5" s="32"/>
      <c r="I5" s="32"/>
      <c r="J5" s="32"/>
      <c r="K5" s="28" t="s">
        <v>35</v>
      </c>
      <c r="L5" s="54">
        <f>AVERAGE(D5:D10)</f>
        <v>3</v>
      </c>
      <c r="M5" s="32"/>
      <c r="N5" s="32"/>
      <c r="O5" s="32"/>
      <c r="P5" s="32"/>
      <c r="Q5" s="32"/>
      <c r="R5" s="32"/>
      <c r="S5" s="33"/>
    </row>
    <row r="6" spans="2:19" ht="14.4" x14ac:dyDescent="0.3">
      <c r="B6" s="35">
        <v>1.2</v>
      </c>
      <c r="C6" s="17" t="s">
        <v>32</v>
      </c>
      <c r="D6" s="11"/>
      <c r="E6" s="12"/>
      <c r="F6" s="32"/>
      <c r="G6" s="32"/>
      <c r="H6" s="32"/>
      <c r="I6" s="32"/>
      <c r="J6" s="32"/>
      <c r="K6" s="28" t="s">
        <v>36</v>
      </c>
      <c r="L6" s="54">
        <f>AVERAGE(D12:D17)</f>
        <v>4</v>
      </c>
      <c r="M6" s="32"/>
      <c r="N6" s="32"/>
      <c r="O6" s="32"/>
      <c r="P6" s="32"/>
      <c r="Q6" s="32"/>
      <c r="R6" s="32"/>
      <c r="S6" s="33"/>
    </row>
    <row r="7" spans="2:19" ht="14.4" x14ac:dyDescent="0.3">
      <c r="B7" s="35">
        <v>1.3</v>
      </c>
      <c r="C7" s="17" t="s">
        <v>33</v>
      </c>
      <c r="D7" s="11"/>
      <c r="E7" s="12"/>
      <c r="F7" s="32"/>
      <c r="G7" s="32"/>
      <c r="H7" s="32"/>
      <c r="I7" s="32"/>
      <c r="J7" s="32"/>
      <c r="K7" s="28" t="s">
        <v>37</v>
      </c>
      <c r="L7" s="55">
        <f>AVERAGE(D19:D23)</f>
        <v>1.6666666666666667</v>
      </c>
      <c r="M7" s="32"/>
      <c r="N7" s="32"/>
      <c r="O7" s="32"/>
      <c r="P7" s="32"/>
      <c r="Q7" s="32"/>
      <c r="R7" s="32"/>
      <c r="S7" s="33"/>
    </row>
    <row r="8" spans="2:19" ht="14.4" x14ac:dyDescent="0.3">
      <c r="B8" s="35">
        <v>1.4</v>
      </c>
      <c r="C8" s="17" t="s">
        <v>34</v>
      </c>
      <c r="D8" s="11"/>
      <c r="E8" s="12"/>
      <c r="F8" s="32"/>
      <c r="G8" s="32"/>
      <c r="H8" s="32"/>
      <c r="I8" s="32"/>
      <c r="J8" s="32"/>
      <c r="K8" s="28" t="s">
        <v>38</v>
      </c>
      <c r="L8" s="55">
        <f>AVERAGE(D25:D27)</f>
        <v>1</v>
      </c>
      <c r="M8" s="32"/>
      <c r="N8" s="32"/>
      <c r="O8" s="32"/>
      <c r="P8" s="32"/>
      <c r="Q8" s="32"/>
      <c r="R8" s="32"/>
      <c r="S8" s="33"/>
    </row>
    <row r="9" spans="2:19" ht="14.4" x14ac:dyDescent="0.3">
      <c r="B9" s="35">
        <v>1.5</v>
      </c>
      <c r="C9" s="17" t="s">
        <v>42</v>
      </c>
      <c r="D9" s="11">
        <v>3</v>
      </c>
      <c r="E9" s="12"/>
      <c r="F9" s="32"/>
      <c r="G9" s="32"/>
      <c r="H9" s="32"/>
      <c r="I9" s="32"/>
      <c r="J9" s="32"/>
      <c r="K9" s="28" t="s">
        <v>39</v>
      </c>
      <c r="L9" s="55">
        <f>AVERAGE(D29:D32)</f>
        <v>1.5</v>
      </c>
      <c r="M9" s="32"/>
      <c r="N9" s="32"/>
      <c r="O9" s="32"/>
      <c r="P9" s="32"/>
      <c r="Q9" s="32"/>
      <c r="R9" s="32"/>
      <c r="S9" s="33"/>
    </row>
    <row r="10" spans="2:19" ht="28.8" x14ac:dyDescent="0.3">
      <c r="B10" s="35">
        <v>1.6</v>
      </c>
      <c r="C10" s="17" t="s">
        <v>26</v>
      </c>
      <c r="D10" s="11">
        <v>3</v>
      </c>
      <c r="E10" s="12"/>
      <c r="F10" s="32"/>
      <c r="G10" s="32"/>
      <c r="H10" s="32"/>
      <c r="I10" s="32"/>
      <c r="J10" s="32"/>
      <c r="M10" s="32"/>
      <c r="N10" s="32"/>
      <c r="O10" s="32"/>
      <c r="P10" s="32"/>
      <c r="Q10" s="32"/>
      <c r="R10" s="32"/>
      <c r="S10" s="33"/>
    </row>
    <row r="11" spans="2:19" ht="14.4" x14ac:dyDescent="0.3">
      <c r="B11" s="34">
        <v>2</v>
      </c>
      <c r="C11" s="23" t="s">
        <v>6</v>
      </c>
      <c r="D11" s="24"/>
      <c r="E11" s="25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3"/>
    </row>
    <row r="12" spans="2:19" ht="14.4" x14ac:dyDescent="0.3">
      <c r="B12" s="35">
        <v>2.1</v>
      </c>
      <c r="C12" s="18" t="s">
        <v>43</v>
      </c>
      <c r="D12" s="11"/>
      <c r="E12" s="1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3"/>
    </row>
    <row r="13" spans="2:19" ht="14.4" x14ac:dyDescent="0.3">
      <c r="B13" s="35">
        <v>2.2000000000000002</v>
      </c>
      <c r="C13" s="18" t="s">
        <v>44</v>
      </c>
      <c r="D13" s="11"/>
      <c r="E13" s="1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3"/>
    </row>
    <row r="14" spans="2:19" ht="14.4" x14ac:dyDescent="0.3">
      <c r="B14" s="35">
        <v>2.2999999999999998</v>
      </c>
      <c r="C14" s="18" t="s">
        <v>45</v>
      </c>
      <c r="D14" s="11"/>
      <c r="E14" s="1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3"/>
    </row>
    <row r="15" spans="2:19" ht="14.4" x14ac:dyDescent="0.3">
      <c r="B15" s="35">
        <v>2.4</v>
      </c>
      <c r="C15" s="18" t="s">
        <v>46</v>
      </c>
      <c r="D15" s="11"/>
      <c r="E15" s="1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3"/>
    </row>
    <row r="16" spans="2:19" ht="28.8" x14ac:dyDescent="0.3">
      <c r="B16" s="35">
        <v>2.5</v>
      </c>
      <c r="C16" s="17" t="s">
        <v>27</v>
      </c>
      <c r="D16" s="11"/>
      <c r="E16" s="1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3"/>
    </row>
    <row r="17" spans="2:19" ht="28.8" x14ac:dyDescent="0.3">
      <c r="B17" s="35">
        <v>2.6</v>
      </c>
      <c r="C17" s="17" t="s">
        <v>47</v>
      </c>
      <c r="D17" s="11">
        <v>4</v>
      </c>
      <c r="E17" s="1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3"/>
    </row>
    <row r="18" spans="2:19" ht="14.4" x14ac:dyDescent="0.3">
      <c r="B18" s="34">
        <v>3</v>
      </c>
      <c r="C18" s="26" t="s">
        <v>5</v>
      </c>
      <c r="D18" s="24"/>
      <c r="E18" s="27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3"/>
    </row>
    <row r="19" spans="2:19" ht="14.4" x14ac:dyDescent="0.3">
      <c r="B19" s="35">
        <v>3.1</v>
      </c>
      <c r="C19" s="18" t="s">
        <v>1</v>
      </c>
      <c r="D19" s="11">
        <v>1</v>
      </c>
      <c r="E19" s="1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3"/>
    </row>
    <row r="20" spans="2:19" ht="28.8" x14ac:dyDescent="0.3">
      <c r="B20" s="35">
        <v>3.2</v>
      </c>
      <c r="C20" s="18" t="s">
        <v>28</v>
      </c>
      <c r="D20" s="11">
        <v>2</v>
      </c>
      <c r="E20" s="1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3"/>
    </row>
    <row r="21" spans="2:19" ht="14.4" x14ac:dyDescent="0.3">
      <c r="B21" s="35">
        <v>3.3</v>
      </c>
      <c r="C21" s="18" t="s">
        <v>2</v>
      </c>
      <c r="D21" s="11">
        <v>2</v>
      </c>
      <c r="E21" s="1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3"/>
    </row>
    <row r="22" spans="2:19" ht="14.4" x14ac:dyDescent="0.3">
      <c r="B22" s="35">
        <v>3.4</v>
      </c>
      <c r="C22" s="19" t="s">
        <v>29</v>
      </c>
      <c r="D22" s="11"/>
      <c r="E22" s="1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3"/>
    </row>
    <row r="23" spans="2:19" ht="14.4" x14ac:dyDescent="0.3">
      <c r="B23" s="35">
        <v>3.5</v>
      </c>
      <c r="C23" s="18" t="s">
        <v>56</v>
      </c>
      <c r="D23" s="11"/>
      <c r="E23" s="1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3"/>
    </row>
    <row r="24" spans="2:19" ht="14.4" x14ac:dyDescent="0.3">
      <c r="B24" s="34">
        <v>4</v>
      </c>
      <c r="C24" s="23" t="s">
        <v>3</v>
      </c>
      <c r="D24" s="24"/>
      <c r="E24" s="25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3"/>
    </row>
    <row r="25" spans="2:19" ht="28.8" x14ac:dyDescent="0.3">
      <c r="B25" s="35">
        <v>4.0999999999999996</v>
      </c>
      <c r="C25" s="18" t="s">
        <v>57</v>
      </c>
      <c r="D25" s="11"/>
      <c r="E25" s="1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3"/>
    </row>
    <row r="26" spans="2:19" ht="28.8" x14ac:dyDescent="0.3">
      <c r="B26" s="35">
        <v>4.2</v>
      </c>
      <c r="C26" s="19" t="s">
        <v>58</v>
      </c>
      <c r="D26" s="11">
        <v>1</v>
      </c>
      <c r="E26" s="1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</row>
    <row r="27" spans="2:19" ht="28.8" x14ac:dyDescent="0.3">
      <c r="B27" s="35">
        <v>4.3</v>
      </c>
      <c r="C27" s="59" t="s">
        <v>30</v>
      </c>
      <c r="D27" s="11"/>
      <c r="E27" s="1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3"/>
    </row>
    <row r="28" spans="2:19" ht="14.4" x14ac:dyDescent="0.3">
      <c r="B28" s="34">
        <v>5</v>
      </c>
      <c r="C28" s="23" t="s">
        <v>4</v>
      </c>
      <c r="D28" s="24"/>
      <c r="E28" s="25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3"/>
    </row>
    <row r="29" spans="2:19" ht="28.8" x14ac:dyDescent="0.3">
      <c r="B29" s="35">
        <v>5.0999999999999996</v>
      </c>
      <c r="C29" s="60" t="s">
        <v>54</v>
      </c>
      <c r="D29" s="11"/>
      <c r="E29" s="1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3"/>
    </row>
    <row r="30" spans="2:19" ht="14.4" x14ac:dyDescent="0.3">
      <c r="B30" s="35">
        <v>5.2</v>
      </c>
      <c r="C30" s="19" t="s">
        <v>48</v>
      </c>
      <c r="D30" s="11">
        <v>2</v>
      </c>
      <c r="E30" s="12"/>
      <c r="F30" s="32"/>
      <c r="G30" s="32"/>
      <c r="H30" s="36"/>
      <c r="I30" s="37"/>
      <c r="J30" s="32"/>
      <c r="K30" s="32"/>
      <c r="L30" s="32"/>
      <c r="M30" s="32"/>
      <c r="N30" s="32"/>
      <c r="O30" s="32"/>
      <c r="P30" s="32"/>
      <c r="Q30" s="32"/>
      <c r="R30" s="32"/>
      <c r="S30" s="33"/>
    </row>
    <row r="31" spans="2:19" ht="14.4" x14ac:dyDescent="0.3">
      <c r="B31" s="35">
        <v>5.3</v>
      </c>
      <c r="C31" s="19" t="s">
        <v>49</v>
      </c>
      <c r="D31" s="11">
        <v>1</v>
      </c>
      <c r="E31" s="1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3"/>
    </row>
    <row r="32" spans="2:19" ht="14.4" x14ac:dyDescent="0.3">
      <c r="B32" s="35">
        <v>5.4</v>
      </c>
      <c r="C32" s="18" t="s">
        <v>50</v>
      </c>
      <c r="D32" s="11"/>
      <c r="E32" s="1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3"/>
    </row>
    <row r="33" spans="2:19" ht="14.4" x14ac:dyDescent="0.3">
      <c r="B33" s="35"/>
      <c r="C33" s="53" t="s">
        <v>41</v>
      </c>
      <c r="D33" s="22">
        <v>100</v>
      </c>
      <c r="E33" s="14" t="str">
        <f>IF(E34&gt;90%,"A",IF(E34&gt;80%,"B",IF(E34&gt;60%,"C","D")))</f>
        <v>D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3"/>
    </row>
    <row r="34" spans="2:19" ht="19.05" customHeight="1" x14ac:dyDescent="0.3">
      <c r="B34" s="29"/>
      <c r="C34" s="30"/>
      <c r="D34" s="31"/>
      <c r="E34" s="5">
        <f>AVERAGE(D29:D32,D25:D27,D19:D23,D12:D17,D5:D10)/4</f>
        <v>0.55000000000000004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3"/>
    </row>
    <row r="35" spans="2:19" customFormat="1" ht="10.95" customHeight="1" x14ac:dyDescent="0.3">
      <c r="B35" s="38"/>
      <c r="C35" s="39"/>
      <c r="D35" s="40"/>
      <c r="E35" s="2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1"/>
    </row>
    <row r="36" spans="2:19" ht="14.4" x14ac:dyDescent="0.3">
      <c r="B36" s="106" t="s">
        <v>10</v>
      </c>
      <c r="C36" s="95"/>
      <c r="D36" s="96" t="s">
        <v>51</v>
      </c>
      <c r="E36" s="95"/>
      <c r="F36" s="32"/>
      <c r="G36" s="1" t="s">
        <v>22</v>
      </c>
      <c r="H36" s="13">
        <v>44652</v>
      </c>
      <c r="I36" s="13">
        <v>44682</v>
      </c>
      <c r="J36" s="13">
        <v>44713</v>
      </c>
      <c r="K36" s="13">
        <v>44743</v>
      </c>
      <c r="L36" s="13">
        <v>44774</v>
      </c>
      <c r="M36" s="13">
        <v>44805</v>
      </c>
      <c r="N36" s="13">
        <v>44835</v>
      </c>
      <c r="O36" s="13">
        <v>44866</v>
      </c>
      <c r="P36" s="13">
        <v>44896</v>
      </c>
      <c r="Q36" s="13">
        <v>44927</v>
      </c>
      <c r="R36" s="13">
        <v>44958</v>
      </c>
      <c r="S36" s="42">
        <v>44986</v>
      </c>
    </row>
    <row r="37" spans="2:19" ht="14.4" x14ac:dyDescent="0.3">
      <c r="B37" s="43">
        <v>0</v>
      </c>
      <c r="C37" s="16" t="s">
        <v>52</v>
      </c>
      <c r="D37" s="6" t="s">
        <v>11</v>
      </c>
      <c r="E37" s="1" t="s">
        <v>12</v>
      </c>
      <c r="F37" s="32"/>
      <c r="G37" s="102" t="s">
        <v>23</v>
      </c>
      <c r="H37" s="102" t="str">
        <f t="shared" ref="H37:K37" si="0">IF(H39="","",IF(H39&gt;90%,"A",IF(H39&gt;80%,"B",IF(H39&gt;60%,"C","D"))))</f>
        <v>D</v>
      </c>
      <c r="I37" s="102" t="str">
        <f t="shared" si="0"/>
        <v>C</v>
      </c>
      <c r="J37" s="102" t="str">
        <f t="shared" si="0"/>
        <v>C</v>
      </c>
      <c r="K37" s="102" t="str">
        <f t="shared" si="0"/>
        <v>B</v>
      </c>
      <c r="L37" s="102" t="str">
        <f>IF(L39="","",IF(L39&gt;90%,"A",IF(L39&gt;80%,"B",IF(L39&gt;60%,"C","D"))))</f>
        <v/>
      </c>
      <c r="M37" s="102" t="str">
        <f>IF(M39="","",IF(M39&gt;90%,"A",IF(M39&gt;80%,"B",IF(M39&gt;60%,"C","D"))))</f>
        <v/>
      </c>
      <c r="N37" s="102" t="str">
        <f t="shared" ref="N37:S37" si="1">IF(N39="","",IF(N39&gt;90%,"A",IF(N39&gt;80%,"B",IF(N39&gt;60%,"C","D"))))</f>
        <v/>
      </c>
      <c r="O37" s="102" t="str">
        <f t="shared" si="1"/>
        <v/>
      </c>
      <c r="P37" s="102" t="str">
        <f t="shared" si="1"/>
        <v/>
      </c>
      <c r="Q37" s="102" t="str">
        <f t="shared" si="1"/>
        <v/>
      </c>
      <c r="R37" s="102" t="str">
        <f t="shared" si="1"/>
        <v/>
      </c>
      <c r="S37" s="102" t="str">
        <f t="shared" si="1"/>
        <v/>
      </c>
    </row>
    <row r="38" spans="2:19" ht="14.4" x14ac:dyDescent="0.3">
      <c r="B38" s="43">
        <v>1</v>
      </c>
      <c r="C38" s="16" t="s">
        <v>13</v>
      </c>
      <c r="D38" s="7" t="s">
        <v>9</v>
      </c>
      <c r="E38" s="1" t="s">
        <v>14</v>
      </c>
      <c r="F38" s="32"/>
      <c r="G38" s="103"/>
      <c r="H38" s="103" t="str">
        <f t="shared" ref="H38" si="2">IF(H39&gt;90%,"A",IF(H39&gt;80%,"B",IF(H39&gt;60%,"C","D")))</f>
        <v>D</v>
      </c>
      <c r="I38" s="103" t="str">
        <f t="shared" ref="I38" si="3">IF(I39&gt;90%,"A",IF(I39&gt;80%,"B",IF(I39&gt;60%,"C","D")))</f>
        <v>C</v>
      </c>
      <c r="J38" s="103" t="str">
        <f t="shared" ref="J38" si="4">IF(J39&gt;90%,"A",IF(J39&gt;80%,"B",IF(J39&gt;60%,"C","D")))</f>
        <v>C</v>
      </c>
      <c r="K38" s="103" t="str">
        <f t="shared" ref="K38" si="5">IF(K39&gt;90%,"A",IF(K39&gt;80%,"B",IF(K39&gt;60%,"C","D")))</f>
        <v>B</v>
      </c>
      <c r="L38" s="103" t="str">
        <f t="shared" ref="L38" si="6">IF(L39&gt;90%,"A",IF(L39&gt;80%,"B",IF(L39&gt;60%,"C","D")))</f>
        <v>D</v>
      </c>
      <c r="M38" s="103" t="str">
        <f t="shared" ref="M38" si="7">IF(M39&gt;90%,"A",IF(M39&gt;80%,"B",IF(M39&gt;60%,"C","D")))</f>
        <v>D</v>
      </c>
      <c r="N38" s="103" t="str">
        <f t="shared" ref="N38" si="8">IF(N39&gt;90%,"A",IF(N39&gt;80%,"B",IF(N39&gt;60%,"C","D")))</f>
        <v>D</v>
      </c>
      <c r="O38" s="103" t="str">
        <f t="shared" ref="O38" si="9">IF(O39&gt;90%,"A",IF(O39&gt;80%,"B",IF(O39&gt;60%,"C","D")))</f>
        <v>D</v>
      </c>
      <c r="P38" s="103" t="str">
        <f t="shared" ref="P38" si="10">IF(P39&gt;90%,"A",IF(P39&gt;80%,"B",IF(P39&gt;60%,"C","D")))</f>
        <v>D</v>
      </c>
      <c r="Q38" s="103" t="str">
        <f t="shared" ref="Q38" si="11">IF(Q39&gt;90%,"A",IF(Q39&gt;80%,"B",IF(Q39&gt;60%,"C","D")))</f>
        <v>D</v>
      </c>
      <c r="R38" s="103" t="str">
        <f t="shared" ref="R38" si="12">IF(R39&gt;90%,"A",IF(R39&gt;80%,"B",IF(R39&gt;60%,"C","D")))</f>
        <v>D</v>
      </c>
      <c r="S38" s="103" t="str">
        <f t="shared" ref="S38" si="13">IF(S39&gt;90%,"A",IF(S39&gt;80%,"B",IF(S39&gt;60%,"C","D")))</f>
        <v>D</v>
      </c>
    </row>
    <row r="39" spans="2:19" ht="14.4" x14ac:dyDescent="0.3">
      <c r="B39" s="43">
        <v>2</v>
      </c>
      <c r="C39" s="16" t="s">
        <v>15</v>
      </c>
      <c r="D39" s="8" t="s">
        <v>16</v>
      </c>
      <c r="E39" s="1" t="s">
        <v>17</v>
      </c>
      <c r="F39" s="32"/>
      <c r="G39" s="3" t="s">
        <v>24</v>
      </c>
      <c r="H39" s="9">
        <v>0.57999999999999996</v>
      </c>
      <c r="I39" s="9">
        <v>0.69</v>
      </c>
      <c r="J39" s="9">
        <v>0.74</v>
      </c>
      <c r="K39" s="9">
        <v>0.81</v>
      </c>
      <c r="L39" s="3"/>
      <c r="M39" s="3"/>
      <c r="N39" s="3"/>
      <c r="O39" s="3"/>
      <c r="P39" s="3"/>
      <c r="Q39" s="3"/>
      <c r="R39" s="3"/>
      <c r="S39" s="44"/>
    </row>
    <row r="40" spans="2:19" ht="14.4" x14ac:dyDescent="0.3">
      <c r="B40" s="43">
        <v>3</v>
      </c>
      <c r="C40" s="16" t="s">
        <v>18</v>
      </c>
      <c r="D40" s="10" t="s">
        <v>21</v>
      </c>
      <c r="E40" s="1" t="s">
        <v>19</v>
      </c>
      <c r="F40" s="32"/>
      <c r="G40" s="1" t="s">
        <v>25</v>
      </c>
      <c r="H40" s="15">
        <v>0.8</v>
      </c>
      <c r="I40" s="15">
        <v>0.8</v>
      </c>
      <c r="J40" s="15">
        <v>0.8</v>
      </c>
      <c r="K40" s="15">
        <v>0.8</v>
      </c>
      <c r="L40" s="15">
        <v>0.8</v>
      </c>
      <c r="M40" s="15">
        <v>0.8</v>
      </c>
      <c r="N40" s="15">
        <v>0.8</v>
      </c>
      <c r="O40" s="15">
        <v>0.8</v>
      </c>
      <c r="P40" s="15">
        <v>0.8</v>
      </c>
      <c r="Q40" s="15">
        <v>0.8</v>
      </c>
      <c r="R40" s="15">
        <v>0.8</v>
      </c>
      <c r="S40" s="45">
        <v>0.8</v>
      </c>
    </row>
    <row r="41" spans="2:19" ht="15" thickBot="1" x14ac:dyDescent="0.35">
      <c r="B41" s="46">
        <v>4</v>
      </c>
      <c r="C41" s="61" t="s">
        <v>20</v>
      </c>
      <c r="D41" s="47"/>
      <c r="E41" s="48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9"/>
    </row>
    <row r="42" spans="2:19" ht="24" customHeight="1" x14ac:dyDescent="0.3">
      <c r="B42" s="2"/>
      <c r="C42" s="21"/>
      <c r="D42" s="2"/>
    </row>
  </sheetData>
  <mergeCells count="20">
    <mergeCell ref="B1:C1"/>
    <mergeCell ref="D2:E2"/>
    <mergeCell ref="D3:E3"/>
    <mergeCell ref="Q37:Q38"/>
    <mergeCell ref="R37:R38"/>
    <mergeCell ref="S37:S38"/>
    <mergeCell ref="B2:C2"/>
    <mergeCell ref="B3:C3"/>
    <mergeCell ref="G37:G38"/>
    <mergeCell ref="H37:H38"/>
    <mergeCell ref="I37:I38"/>
    <mergeCell ref="J37:J38"/>
    <mergeCell ref="K37:K38"/>
    <mergeCell ref="L37:L38"/>
    <mergeCell ref="B36:C36"/>
    <mergeCell ref="D36:E36"/>
    <mergeCell ref="M37:M38"/>
    <mergeCell ref="N37:N38"/>
    <mergeCell ref="O37:O38"/>
    <mergeCell ref="P37:P38"/>
  </mergeCells>
  <conditionalFormatting sqref="E33:E34">
    <cfRule type="cellIs" dxfId="7" priority="1" operator="equal">
      <formula>"D"</formula>
    </cfRule>
    <cfRule type="cellIs" dxfId="6" priority="2" operator="equal">
      <formula>"C"</formula>
    </cfRule>
    <cfRule type="cellIs" dxfId="5" priority="3" operator="equal">
      <formula>"B"</formula>
    </cfRule>
    <cfRule type="cellIs" dxfId="4" priority="4" operator="equal">
      <formula>"A"</formula>
    </cfRule>
  </conditionalFormatting>
  <conditionalFormatting sqref="H37:S38">
    <cfRule type="cellIs" dxfId="3" priority="9" operator="equal">
      <formula>"D"</formula>
    </cfRule>
    <cfRule type="cellIs" dxfId="2" priority="10" operator="equal">
      <formula>"C"</formula>
    </cfRule>
    <cfRule type="cellIs" dxfId="1" priority="11" operator="equal">
      <formula>"B"</formula>
    </cfRule>
    <cfRule type="cellIs" dxfId="0" priority="12" operator="equal">
      <formula>"A"</formula>
    </cfRule>
  </conditionalFormatting>
  <pageMargins left="0.25" right="0.25" top="0.75" bottom="0.75" header="0.3" footer="0.3"/>
  <pageSetup paperSize="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B98B7-07D5-4E37-B733-9F705C19272A}">
  <dimension ref="B2:T6"/>
  <sheetViews>
    <sheetView showGridLines="0" zoomScale="70" zoomScaleNormal="70" workbookViewId="0">
      <selection activeCell="M24" sqref="M24"/>
    </sheetView>
  </sheetViews>
  <sheetFormatPr defaultRowHeight="14.4" x14ac:dyDescent="0.3"/>
  <cols>
    <col min="3" max="3" width="12.77734375" customWidth="1"/>
    <col min="4" max="4" width="17.88671875" customWidth="1"/>
    <col min="5" max="5" width="16.77734375" customWidth="1"/>
    <col min="6" max="6" width="8.5546875" bestFit="1" customWidth="1"/>
    <col min="7" max="7" width="9.21875" bestFit="1" customWidth="1"/>
    <col min="8" max="8" width="8.33203125" bestFit="1" customWidth="1"/>
    <col min="9" max="9" width="7.77734375" bestFit="1" customWidth="1"/>
    <col min="10" max="10" width="8.88671875" bestFit="1" customWidth="1"/>
    <col min="11" max="11" width="8.5546875" bestFit="1" customWidth="1"/>
    <col min="12" max="12" width="8.44140625" bestFit="1" customWidth="1"/>
    <col min="13" max="13" width="8.77734375" bestFit="1" customWidth="1"/>
    <col min="14" max="14" width="8.6640625" bestFit="1" customWidth="1"/>
    <col min="15" max="15" width="8.33203125" bestFit="1" customWidth="1"/>
    <col min="16" max="16" width="8.5546875" bestFit="1" customWidth="1"/>
    <col min="17" max="17" width="9.109375" bestFit="1" customWidth="1"/>
    <col min="18" max="18" width="1.44140625" customWidth="1"/>
    <col min="19" max="20" width="12.44140625" customWidth="1"/>
  </cols>
  <sheetData>
    <row r="2" spans="2:20" x14ac:dyDescent="0.3">
      <c r="B2" s="64" t="s">
        <v>66</v>
      </c>
      <c r="C2" s="64" t="s">
        <v>63</v>
      </c>
      <c r="D2" s="64" t="s">
        <v>64</v>
      </c>
      <c r="E2" s="64" t="s">
        <v>65</v>
      </c>
      <c r="F2" s="65">
        <v>45748</v>
      </c>
      <c r="G2" s="65">
        <v>45778</v>
      </c>
      <c r="H2" s="65">
        <v>45809</v>
      </c>
      <c r="I2" s="65">
        <v>45839</v>
      </c>
      <c r="J2" s="65">
        <v>45870</v>
      </c>
      <c r="K2" s="65">
        <v>45901</v>
      </c>
      <c r="L2" s="65">
        <v>45931</v>
      </c>
      <c r="M2" s="65">
        <v>45962</v>
      </c>
      <c r="N2" s="65">
        <v>45992</v>
      </c>
      <c r="O2" s="65">
        <v>46023</v>
      </c>
      <c r="P2" s="65">
        <v>46054</v>
      </c>
      <c r="Q2" s="65">
        <v>46082</v>
      </c>
      <c r="S2" s="111" t="s">
        <v>69</v>
      </c>
      <c r="T2" s="112"/>
    </row>
    <row r="3" spans="2:20" x14ac:dyDescent="0.3">
      <c r="B3" s="116">
        <v>1</v>
      </c>
      <c r="C3" s="116"/>
      <c r="D3" s="116"/>
      <c r="E3" s="66" t="s">
        <v>59</v>
      </c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S3" s="117" t="s">
        <v>67</v>
      </c>
      <c r="T3" s="113"/>
    </row>
    <row r="4" spans="2:20" x14ac:dyDescent="0.3">
      <c r="B4" s="116"/>
      <c r="C4" s="116"/>
      <c r="D4" s="116"/>
      <c r="E4" s="66" t="s">
        <v>60</v>
      </c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S4" s="118"/>
      <c r="T4" s="114"/>
    </row>
    <row r="5" spans="2:20" x14ac:dyDescent="0.3">
      <c r="B5" s="116"/>
      <c r="C5" s="116"/>
      <c r="D5" s="116"/>
      <c r="E5" s="66" t="s">
        <v>61</v>
      </c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S5" s="119"/>
      <c r="T5" s="115"/>
    </row>
    <row r="6" spans="2:20" x14ac:dyDescent="0.3">
      <c r="B6" s="116"/>
      <c r="C6" s="116"/>
      <c r="D6" s="116"/>
      <c r="E6" s="66" t="s">
        <v>62</v>
      </c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S6" s="66" t="s">
        <v>68</v>
      </c>
      <c r="T6" s="63"/>
    </row>
  </sheetData>
  <mergeCells count="6">
    <mergeCell ref="S2:T2"/>
    <mergeCell ref="T3:T5"/>
    <mergeCell ref="C3:C6"/>
    <mergeCell ref="D3:D6"/>
    <mergeCell ref="B3:B6"/>
    <mergeCell ref="S3:S5"/>
  </mergeCells>
  <phoneticPr fontId="1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E577CE3A25D74FA8625702C0E5A61A" ma:contentTypeVersion="8" ma:contentTypeDescription="Create a new document." ma:contentTypeScope="" ma:versionID="5d7c6269f30eb9791f52b54a6b99f6e5">
  <xsd:schema xmlns:xsd="http://www.w3.org/2001/XMLSchema" xmlns:xs="http://www.w3.org/2001/XMLSchema" xmlns:p="http://schemas.microsoft.com/office/2006/metadata/properties" xmlns:ns2="8b4bc4a2-2c25-4a9d-a1ad-07fae4e28cec" targetNamespace="http://schemas.microsoft.com/office/2006/metadata/properties" ma:root="true" ma:fieldsID="1052025ad8707ecf1203eeb1b876f229" ns2:_="">
    <xsd:import namespace="8b4bc4a2-2c25-4a9d-a1ad-07fae4e28c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4bc4a2-2c25-4a9d-a1ad-07fae4e28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431DF6-4C66-449C-A4CF-6B5559199418}">
  <ds:schemaRefs>
    <ds:schemaRef ds:uri="http://schemas.microsoft.com/office/2006/metadata/properties"/>
    <ds:schemaRef ds:uri="http://schemas.microsoft.com/office/infopath/2007/PartnerControls"/>
    <ds:schemaRef ds:uri="7b88bb4d-a548-4a8a-b2ea-378901b8d969"/>
    <ds:schemaRef ds:uri="3dc8b0e2-f4c5-4ac5-9aee-44a4148566e7"/>
    <ds:schemaRef ds:uri="54e4782a-68b4-44b0-95b4-0cb2b97135b3"/>
    <ds:schemaRef ds:uri="ba64b3a5-b0f8-45ff-b7d0-fce79b263b55"/>
  </ds:schemaRefs>
</ds:datastoreItem>
</file>

<file path=customXml/itemProps2.xml><?xml version="1.0" encoding="utf-8"?>
<ds:datastoreItem xmlns:ds="http://schemas.openxmlformats.org/officeDocument/2006/customXml" ds:itemID="{531019D8-7D3D-4B48-BFBF-F5238E47497D}"/>
</file>

<file path=customXml/itemProps3.xml><?xml version="1.0" encoding="utf-8"?>
<ds:datastoreItem xmlns:ds="http://schemas.openxmlformats.org/officeDocument/2006/customXml" ds:itemID="{244B6B4D-CEF7-4FFE-AE80-0571428DEFE3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5S Checklist-Print</vt:lpstr>
      <vt:lpstr>5S Checksheet-Digital</vt:lpstr>
      <vt:lpstr>5S Audit Sch.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vaaman operations</dc:creator>
  <cp:lastModifiedBy>Jha, Subham</cp:lastModifiedBy>
  <cp:lastPrinted>2022-11-20T16:50:47Z</cp:lastPrinted>
  <dcterms:created xsi:type="dcterms:W3CDTF">2015-06-05T18:17:20Z</dcterms:created>
  <dcterms:modified xsi:type="dcterms:W3CDTF">2026-04-10T08:54:48Z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2022-11-19T09:53:49Z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7849fdbf-7deb-4e68-aa1e-dbdb4ffaccd2</vt:lpwstr>
  </property>
  <property fmtid="{D5CDD505-2E9C-101B-9397-08002B2CF9AE}" pid="8" name="MSIP_Label_ea60d57e-af5b-4752-ac57-3e4f28ca11dc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0x010100E2E577CE3A25D74FA8625702C0E5A61A</vt:lpwstr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xd_Signature">
    <vt:bool>false</vt:bool>
  </property>
</Properties>
</file>